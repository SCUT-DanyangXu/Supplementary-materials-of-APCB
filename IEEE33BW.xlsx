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DG" sheetId="1" r:id="rId1"/>
    <sheet name="ES" sheetId="6" r:id="rId2"/>
    <sheet name="Branch" sheetId="2" r:id="rId3"/>
    <sheet name="Node" sheetId="3" r:id="rId4"/>
    <sheet name="Load" sheetId="4" r:id="rId5"/>
    <sheet name="R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<sst xmlns="http://schemas.openxmlformats.org/spreadsheetml/2006/main" count="51" uniqueCount="45">
  <si>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DG_index</t>
  </si>
  <si>
    <t>node_index</t>
  </si>
  <si>
    <t>Pmax</t>
  </si>
  <si>
    <t>Qmax</t>
  </si>
  <si>
    <t>Pmin</t>
  </si>
  <si>
    <t>Qmin</t>
  </si>
  <si>
    <t>RU</t>
  </si>
  <si>
    <t>RD</t>
  </si>
  <si>
    <t>ES_index</t>
  </si>
  <si>
    <t>yita</t>
  </si>
  <si>
    <t>Emax</t>
  </si>
  <si>
    <t>Emin</t>
  </si>
  <si>
    <t>E0</t>
  </si>
  <si>
    <t>line_index</t>
  </si>
  <si>
    <t>f_node</t>
  </si>
  <si>
    <t>t_node</t>
  </si>
  <si>
    <t>r</t>
  </si>
  <si>
    <t>x</t>
  </si>
  <si>
    <t>P</t>
  </si>
  <si>
    <t>Q</t>
  </si>
  <si>
    <t>TP_index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</si>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</sst>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zoomScale="160" zoomScaleNormal="160" workbookViewId="0">
      <selection activeCell="E17" sqref="E17"/>
    </sheetView>
  </sheetViews>
  <sheetFormatPr defaultColWidth="8.875" defaultRowHeight="13.5" outlineLevelRow="3" outlineLevelCol="7"/>
  <cols>
    <col min="2" max="2" width="11.625" customWidth="1"/>
    <col min="4" max="4" width="14.125"/>
    <col min="6" max="6" width="12.625"/>
  </cols>
  <sheetData>
    <row r="1" ht="14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4">
        <v>1</v>
      </c>
      <c r="B2" s="4">
        <v>4</v>
      </c>
      <c r="C2" s="5">
        <v>800</v>
      </c>
      <c r="D2" s="5">
        <f>C2</f>
        <v>800</v>
      </c>
      <c r="E2" s="5">
        <v>0</v>
      </c>
      <c r="F2" s="4">
        <v>0</v>
      </c>
      <c r="G2" s="5">
        <f>C2*0.75</f>
        <v>600</v>
      </c>
      <c r="H2" s="5">
        <f>G2</f>
        <v>600</v>
      </c>
    </row>
    <row r="3" spans="1:8">
      <c r="A3" s="4">
        <v>2</v>
      </c>
      <c r="B3" s="4">
        <v>19</v>
      </c>
      <c r="C3" s="5">
        <v>800</v>
      </c>
      <c r="D3" s="5">
        <f>C3</f>
        <v>800</v>
      </c>
      <c r="E3" s="5">
        <v>0</v>
      </c>
      <c r="F3" s="4">
        <v>0</v>
      </c>
      <c r="G3" s="5">
        <f>C3*0.75</f>
        <v>600</v>
      </c>
      <c r="H3" s="5">
        <f>G3</f>
        <v>600</v>
      </c>
    </row>
    <row r="4" spans="1:8">
      <c r="A4" s="4">
        <v>3</v>
      </c>
      <c r="B4" s="4">
        <v>23</v>
      </c>
      <c r="C4" s="5">
        <v>800</v>
      </c>
      <c r="D4" s="5">
        <f>C4</f>
        <v>800</v>
      </c>
      <c r="E4" s="5">
        <v>0</v>
      </c>
      <c r="F4" s="4">
        <v>0</v>
      </c>
      <c r="G4" s="5">
        <f>C4*0.75</f>
        <v>600</v>
      </c>
      <c r="H4" s="5">
        <f>G4</f>
        <v>600</v>
      </c>
    </row>
  </sheetData>
  <sortState ref="A2:I7">
    <sortCondition ref="B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175" zoomScaleNormal="175" workbookViewId="0">
      <selection activeCell="C2" sqref="C2"/>
    </sheetView>
  </sheetViews>
  <sheetFormatPr defaultColWidth="9" defaultRowHeight="13.5" outlineLevelRow="3" outlineLevelCol="6"/>
  <cols>
    <col min="2" max="2" width="13.125" customWidth="1"/>
    <col min="3" max="3" width="11.2083333333333" customWidth="1"/>
    <col min="4" max="4" width="11.55" customWidth="1"/>
    <col min="5" max="5" width="11.975" customWidth="1"/>
    <col min="6" max="6" width="11.125"/>
  </cols>
  <sheetData>
    <row r="1" ht="15" spans="1:7">
      <c r="A1" s="3" t="s">
        <v>8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11</v>
      </c>
      <c r="G1" s="3" t="s">
        <v>12</v>
      </c>
    </row>
    <row r="2" ht="15" spans="1:7">
      <c r="A2" s="3">
        <v>1</v>
      </c>
      <c r="B2" s="3">
        <v>3</v>
      </c>
      <c r="C2" s="3">
        <v>600</v>
      </c>
      <c r="D2" s="3">
        <v>0.95</v>
      </c>
      <c r="E2" s="3">
        <f>C2*4</f>
        <v>2400</v>
      </c>
      <c r="F2" s="3">
        <f>E2*0.1</f>
        <v>240</v>
      </c>
      <c r="G2" s="3">
        <f>E2*0.2</f>
        <v>480</v>
      </c>
    </row>
    <row r="3" ht="15" spans="1:7">
      <c r="A3" s="3">
        <v>2</v>
      </c>
      <c r="B3" s="3">
        <v>7</v>
      </c>
      <c r="C3" s="3">
        <v>600</v>
      </c>
      <c r="D3" s="3">
        <v>0.95</v>
      </c>
      <c r="E3" s="3">
        <f>C3*4</f>
        <v>2400</v>
      </c>
      <c r="F3" s="3">
        <v>100</v>
      </c>
      <c r="G3" s="3">
        <f>E3*0.2</f>
        <v>480</v>
      </c>
    </row>
    <row r="4" ht="15" spans="1:7">
      <c r="A4" s="3">
        <v>3</v>
      </c>
      <c r="B4" s="3">
        <v>29</v>
      </c>
      <c r="C4" s="3">
        <v>600</v>
      </c>
      <c r="D4" s="3">
        <v>0.95</v>
      </c>
      <c r="E4" s="3">
        <f>C4*4</f>
        <v>2400</v>
      </c>
      <c r="F4" s="3">
        <v>120</v>
      </c>
      <c r="G4" s="3">
        <f>E4*0.2</f>
        <v>480</v>
      </c>
    </row>
  </sheetData>
  <sortState ref="A2:I6">
    <sortCondition ref="B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E35" sqref="E35"/>
    </sheetView>
  </sheetViews>
  <sheetFormatPr defaultColWidth="8.875" defaultRowHeight="13.5" outlineLevelCol="4"/>
  <cols>
    <col min="1" max="1" width="11.625" customWidth="1"/>
  </cols>
  <sheetData>
    <row r="1" ht="15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ht="15" spans="1:5">
      <c r="A2" s="1">
        <v>1</v>
      </c>
      <c r="B2" s="1">
        <v>1</v>
      </c>
      <c r="C2" s="1">
        <v>2</v>
      </c>
      <c r="D2" s="1">
        <v>0.0922</v>
      </c>
      <c r="E2" s="1">
        <v>0.0477</v>
      </c>
    </row>
    <row r="3" ht="15" spans="1:5">
      <c r="A3" s="1">
        <v>2</v>
      </c>
      <c r="B3" s="1">
        <v>2</v>
      </c>
      <c r="C3" s="1">
        <v>3</v>
      </c>
      <c r="D3" s="1">
        <v>0.493</v>
      </c>
      <c r="E3" s="1">
        <v>0.2511</v>
      </c>
    </row>
    <row r="4" ht="15" spans="1:5">
      <c r="A4" s="1">
        <v>3</v>
      </c>
      <c r="B4" s="1">
        <v>3</v>
      </c>
      <c r="C4" s="1">
        <v>4</v>
      </c>
      <c r="D4" s="1">
        <v>0.366</v>
      </c>
      <c r="E4" s="1">
        <v>0.1864</v>
      </c>
    </row>
    <row r="5" ht="15" spans="1:5">
      <c r="A5" s="1">
        <v>4</v>
      </c>
      <c r="B5" s="1">
        <v>4</v>
      </c>
      <c r="C5" s="1">
        <v>5</v>
      </c>
      <c r="D5" s="1">
        <v>0.3811</v>
      </c>
      <c r="E5" s="1">
        <v>0.1941</v>
      </c>
    </row>
    <row r="6" ht="15" spans="1:5">
      <c r="A6" s="1">
        <v>5</v>
      </c>
      <c r="B6" s="1">
        <v>5</v>
      </c>
      <c r="C6" s="1">
        <v>6</v>
      </c>
      <c r="D6" s="1">
        <v>0.819</v>
      </c>
      <c r="E6" s="1">
        <v>0.707</v>
      </c>
    </row>
    <row r="7" ht="15" spans="1:5">
      <c r="A7" s="1">
        <v>6</v>
      </c>
      <c r="B7" s="1">
        <v>6</v>
      </c>
      <c r="C7" s="1">
        <v>7</v>
      </c>
      <c r="D7" s="1">
        <v>0.1872</v>
      </c>
      <c r="E7" s="1">
        <v>0.6188</v>
      </c>
    </row>
    <row r="8" ht="15" spans="1:5">
      <c r="A8" s="1">
        <v>7</v>
      </c>
      <c r="B8" s="1">
        <v>7</v>
      </c>
      <c r="C8" s="1">
        <v>8</v>
      </c>
      <c r="D8" s="1">
        <v>0.7114</v>
      </c>
      <c r="E8" s="1">
        <v>0.2351</v>
      </c>
    </row>
    <row r="9" ht="15" spans="1:5">
      <c r="A9" s="1">
        <v>8</v>
      </c>
      <c r="B9" s="1">
        <v>8</v>
      </c>
      <c r="C9" s="1">
        <v>9</v>
      </c>
      <c r="D9" s="1">
        <v>1.03</v>
      </c>
      <c r="E9" s="1">
        <v>0.74</v>
      </c>
    </row>
    <row r="10" ht="15" spans="1:5">
      <c r="A10" s="1">
        <v>9</v>
      </c>
      <c r="B10" s="1">
        <v>9</v>
      </c>
      <c r="C10" s="1">
        <v>10</v>
      </c>
      <c r="D10" s="1">
        <v>1.044</v>
      </c>
      <c r="E10" s="1">
        <v>0.74</v>
      </c>
    </row>
    <row r="11" ht="15" spans="1:5">
      <c r="A11" s="1">
        <v>10</v>
      </c>
      <c r="B11" s="1">
        <v>10</v>
      </c>
      <c r="C11" s="1">
        <v>11</v>
      </c>
      <c r="D11" s="1">
        <v>0.1966</v>
      </c>
      <c r="E11" s="1">
        <v>0.065</v>
      </c>
    </row>
    <row r="12" ht="15" spans="1:5">
      <c r="A12" s="1">
        <v>11</v>
      </c>
      <c r="B12" s="1">
        <v>11</v>
      </c>
      <c r="C12" s="1">
        <v>12</v>
      </c>
      <c r="D12" s="1">
        <v>0.3744</v>
      </c>
      <c r="E12" s="1">
        <v>0.1238</v>
      </c>
    </row>
    <row r="13" ht="15" spans="1:5">
      <c r="A13" s="1">
        <v>12</v>
      </c>
      <c r="B13" s="1">
        <v>12</v>
      </c>
      <c r="C13" s="1">
        <v>13</v>
      </c>
      <c r="D13" s="1">
        <v>1.468</v>
      </c>
      <c r="E13" s="1">
        <v>1.155</v>
      </c>
    </row>
    <row r="14" ht="15" spans="1:5">
      <c r="A14" s="1">
        <v>13</v>
      </c>
      <c r="B14" s="1">
        <v>13</v>
      </c>
      <c r="C14" s="1">
        <v>14</v>
      </c>
      <c r="D14" s="1">
        <v>0.5416</v>
      </c>
      <c r="E14" s="1">
        <v>0.7129</v>
      </c>
    </row>
    <row r="15" ht="15" spans="1:5">
      <c r="A15" s="1">
        <v>14</v>
      </c>
      <c r="B15" s="1">
        <v>14</v>
      </c>
      <c r="C15" s="1">
        <v>15</v>
      </c>
      <c r="D15" s="1">
        <v>0.591</v>
      </c>
      <c r="E15" s="1">
        <v>0.526</v>
      </c>
    </row>
    <row r="16" ht="15" spans="1:5">
      <c r="A16" s="1">
        <v>15</v>
      </c>
      <c r="B16" s="1">
        <v>15</v>
      </c>
      <c r="C16" s="1">
        <v>16</v>
      </c>
      <c r="D16" s="1">
        <v>0.7463</v>
      </c>
      <c r="E16" s="1">
        <v>0.545</v>
      </c>
    </row>
    <row r="17" ht="15" spans="1:5">
      <c r="A17" s="1">
        <v>16</v>
      </c>
      <c r="B17" s="1">
        <v>16</v>
      </c>
      <c r="C17" s="1">
        <v>17</v>
      </c>
      <c r="D17" s="1">
        <v>1.289</v>
      </c>
      <c r="E17" s="1">
        <v>1.721</v>
      </c>
    </row>
    <row r="18" ht="15" spans="1:5">
      <c r="A18" s="1">
        <v>17</v>
      </c>
      <c r="B18" s="1">
        <v>17</v>
      </c>
      <c r="C18" s="1">
        <v>18</v>
      </c>
      <c r="D18" s="1">
        <v>0.732</v>
      </c>
      <c r="E18" s="1">
        <v>0.574</v>
      </c>
    </row>
    <row r="19" ht="15" spans="1:5">
      <c r="A19" s="1">
        <v>18</v>
      </c>
      <c r="B19" s="1">
        <v>2</v>
      </c>
      <c r="C19" s="1">
        <v>19</v>
      </c>
      <c r="D19" s="1">
        <v>0.164</v>
      </c>
      <c r="E19" s="1">
        <v>0.1565</v>
      </c>
    </row>
    <row r="20" ht="15" spans="1:5">
      <c r="A20" s="1">
        <v>19</v>
      </c>
      <c r="B20" s="1">
        <v>19</v>
      </c>
      <c r="C20" s="1">
        <v>20</v>
      </c>
      <c r="D20" s="1">
        <v>1.5042</v>
      </c>
      <c r="E20" s="1">
        <v>1.3554</v>
      </c>
    </row>
    <row r="21" ht="15" spans="1:5">
      <c r="A21" s="1">
        <v>20</v>
      </c>
      <c r="B21" s="1">
        <v>20</v>
      </c>
      <c r="C21" s="1">
        <v>21</v>
      </c>
      <c r="D21" s="1">
        <v>0.4095</v>
      </c>
      <c r="E21" s="1">
        <v>0.4784</v>
      </c>
    </row>
    <row r="22" ht="15" spans="1:5">
      <c r="A22" s="1">
        <v>21</v>
      </c>
      <c r="B22" s="1">
        <v>21</v>
      </c>
      <c r="C22" s="1">
        <v>22</v>
      </c>
      <c r="D22" s="1">
        <v>0.7089</v>
      </c>
      <c r="E22" s="1">
        <v>0.9373</v>
      </c>
    </row>
    <row r="23" ht="15" spans="1:5">
      <c r="A23" s="1">
        <v>22</v>
      </c>
      <c r="B23" s="1">
        <v>3</v>
      </c>
      <c r="C23" s="1">
        <v>23</v>
      </c>
      <c r="D23" s="1">
        <v>0.4512</v>
      </c>
      <c r="E23" s="1">
        <v>0.3083</v>
      </c>
    </row>
    <row r="24" ht="15" spans="1:5">
      <c r="A24" s="1">
        <v>23</v>
      </c>
      <c r="B24" s="1">
        <v>23</v>
      </c>
      <c r="C24" s="1">
        <v>24</v>
      </c>
      <c r="D24" s="1">
        <v>0.898</v>
      </c>
      <c r="E24" s="1">
        <v>0.7091</v>
      </c>
    </row>
    <row r="25" ht="15" spans="1:5">
      <c r="A25" s="1">
        <v>24</v>
      </c>
      <c r="B25" s="1">
        <v>24</v>
      </c>
      <c r="C25" s="1">
        <v>25</v>
      </c>
      <c r="D25" s="1">
        <v>0.896</v>
      </c>
      <c r="E25" s="1">
        <v>0.7011</v>
      </c>
    </row>
    <row r="26" ht="15" spans="1:5">
      <c r="A26" s="1">
        <v>25</v>
      </c>
      <c r="B26" s="1">
        <v>6</v>
      </c>
      <c r="C26" s="1">
        <v>26</v>
      </c>
      <c r="D26" s="1">
        <v>0.203</v>
      </c>
      <c r="E26" s="1">
        <v>0.1034</v>
      </c>
    </row>
    <row r="27" ht="15" spans="1:5">
      <c r="A27" s="1">
        <v>26</v>
      </c>
      <c r="B27" s="1">
        <v>26</v>
      </c>
      <c r="C27" s="1">
        <v>27</v>
      </c>
      <c r="D27" s="1">
        <v>0.2842</v>
      </c>
      <c r="E27" s="1">
        <v>0.1447</v>
      </c>
    </row>
    <row r="28" ht="15" spans="1:5">
      <c r="A28" s="1">
        <v>27</v>
      </c>
      <c r="B28" s="1">
        <v>27</v>
      </c>
      <c r="C28" s="1">
        <v>28</v>
      </c>
      <c r="D28" s="1">
        <v>1.059</v>
      </c>
      <c r="E28" s="1">
        <v>0.9337</v>
      </c>
    </row>
    <row r="29" ht="15" spans="1:5">
      <c r="A29" s="1">
        <v>28</v>
      </c>
      <c r="B29" s="1">
        <v>28</v>
      </c>
      <c r="C29" s="1">
        <v>29</v>
      </c>
      <c r="D29" s="1">
        <v>0.8042</v>
      </c>
      <c r="E29" s="1">
        <v>0.7006</v>
      </c>
    </row>
    <row r="30" ht="15" spans="1:5">
      <c r="A30" s="1">
        <v>29</v>
      </c>
      <c r="B30" s="1">
        <v>29</v>
      </c>
      <c r="C30" s="1">
        <v>30</v>
      </c>
      <c r="D30" s="1">
        <v>0.5075</v>
      </c>
      <c r="E30" s="1">
        <v>0.2585</v>
      </c>
    </row>
    <row r="31" ht="15" spans="1:5">
      <c r="A31" s="1">
        <v>30</v>
      </c>
      <c r="B31" s="1">
        <v>30</v>
      </c>
      <c r="C31" s="1">
        <v>31</v>
      </c>
      <c r="D31" s="1">
        <v>0.9744</v>
      </c>
      <c r="E31" s="1">
        <v>0.963</v>
      </c>
    </row>
    <row r="32" ht="15" spans="1:5">
      <c r="A32" s="1">
        <v>31</v>
      </c>
      <c r="B32" s="1">
        <v>31</v>
      </c>
      <c r="C32" s="1">
        <v>32</v>
      </c>
      <c r="D32" s="1">
        <v>0.3105</v>
      </c>
      <c r="E32" s="1">
        <v>0.3619</v>
      </c>
    </row>
    <row r="33" ht="15" spans="1:5">
      <c r="A33" s="1">
        <v>32</v>
      </c>
      <c r="B33" s="1">
        <v>32</v>
      </c>
      <c r="C33" s="1">
        <v>33</v>
      </c>
      <c r="D33" s="1">
        <v>0.341</v>
      </c>
      <c r="E33" s="1">
        <v>0.5302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zoomScale="115" zoomScaleNormal="115" workbookViewId="0">
      <selection activeCell="E35" sqref="E35"/>
    </sheetView>
  </sheetViews>
  <sheetFormatPr defaultColWidth="8.875" defaultRowHeight="13.5" outlineLevelCol="2"/>
  <cols>
    <col min="1" max="1" width="11.625" customWidth="1"/>
  </cols>
  <sheetData>
    <row r="1" ht="15" spans="1:3">
      <c r="A1" s="1" t="s">
        <v>1</v>
      </c>
      <c r="B1" s="1" t="s">
        <v>18</v>
      </c>
      <c r="C1" s="1" t="s">
        <v>19</v>
      </c>
    </row>
    <row r="2" ht="15" spans="1:3">
      <c r="A2" s="1">
        <v>1</v>
      </c>
      <c r="B2" s="1">
        <v>0</v>
      </c>
      <c r="C2" s="1">
        <v>0</v>
      </c>
    </row>
    <row r="3" ht="15" spans="1:3">
      <c r="A3" s="1">
        <v>2</v>
      </c>
      <c r="B3" s="1">
        <v>100</v>
      </c>
      <c r="C3" s="1">
        <v>60</v>
      </c>
    </row>
    <row r="4" ht="15" spans="1:3">
      <c r="A4" s="1">
        <v>3</v>
      </c>
      <c r="B4" s="1">
        <v>90</v>
      </c>
      <c r="C4" s="1">
        <v>40</v>
      </c>
    </row>
    <row r="5" ht="15" spans="1:3">
      <c r="A5" s="1">
        <v>4</v>
      </c>
      <c r="B5" s="1">
        <v>120</v>
      </c>
      <c r="C5" s="1">
        <v>80</v>
      </c>
    </row>
    <row r="6" ht="15" spans="1:3">
      <c r="A6" s="1">
        <v>5</v>
      </c>
      <c r="B6" s="1">
        <v>60</v>
      </c>
      <c r="C6" s="1">
        <v>30</v>
      </c>
    </row>
    <row r="7" ht="15" spans="1:3">
      <c r="A7" s="1">
        <v>6</v>
      </c>
      <c r="B7" s="1">
        <v>60</v>
      </c>
      <c r="C7" s="1">
        <v>20</v>
      </c>
    </row>
    <row r="8" ht="15" spans="1:3">
      <c r="A8" s="1">
        <v>7</v>
      </c>
      <c r="B8" s="1">
        <v>200</v>
      </c>
      <c r="C8" s="1">
        <v>100</v>
      </c>
    </row>
    <row r="9" ht="15" spans="1:3">
      <c r="A9" s="1">
        <v>8</v>
      </c>
      <c r="B9" s="1">
        <v>200</v>
      </c>
      <c r="C9" s="1">
        <v>100</v>
      </c>
    </row>
    <row r="10" ht="15" spans="1:3">
      <c r="A10" s="1">
        <v>9</v>
      </c>
      <c r="B10" s="1">
        <v>60</v>
      </c>
      <c r="C10" s="1">
        <v>20</v>
      </c>
    </row>
    <row r="11" ht="15" spans="1:3">
      <c r="A11" s="1">
        <v>10</v>
      </c>
      <c r="B11" s="1">
        <v>60</v>
      </c>
      <c r="C11" s="1">
        <v>20</v>
      </c>
    </row>
    <row r="12" ht="15" spans="1:3">
      <c r="A12" s="1">
        <v>11</v>
      </c>
      <c r="B12" s="1">
        <v>45</v>
      </c>
      <c r="C12" s="1">
        <v>30</v>
      </c>
    </row>
    <row r="13" ht="15" spans="1:3">
      <c r="A13" s="1">
        <v>12</v>
      </c>
      <c r="B13" s="1">
        <v>60</v>
      </c>
      <c r="C13" s="1">
        <v>35</v>
      </c>
    </row>
    <row r="14" ht="15" spans="1:3">
      <c r="A14" s="1">
        <v>13</v>
      </c>
      <c r="B14" s="1">
        <v>60</v>
      </c>
      <c r="C14" s="1">
        <v>35</v>
      </c>
    </row>
    <row r="15" ht="15" spans="1:3">
      <c r="A15" s="1">
        <v>14</v>
      </c>
      <c r="B15" s="1">
        <v>120</v>
      </c>
      <c r="C15" s="1">
        <v>80</v>
      </c>
    </row>
    <row r="16" ht="15" spans="1:3">
      <c r="A16" s="1">
        <v>15</v>
      </c>
      <c r="B16" s="1">
        <v>60</v>
      </c>
      <c r="C16" s="1">
        <v>10</v>
      </c>
    </row>
    <row r="17" ht="15" spans="1:3">
      <c r="A17" s="1">
        <v>16</v>
      </c>
      <c r="B17" s="1">
        <v>60</v>
      </c>
      <c r="C17" s="1">
        <v>20</v>
      </c>
    </row>
    <row r="18" ht="15" spans="1:3">
      <c r="A18" s="1">
        <v>17</v>
      </c>
      <c r="B18" s="1">
        <v>60</v>
      </c>
      <c r="C18" s="1">
        <v>20</v>
      </c>
    </row>
    <row r="19" ht="15" spans="1:3">
      <c r="A19" s="1">
        <v>18</v>
      </c>
      <c r="B19" s="1">
        <v>90</v>
      </c>
      <c r="C19" s="1">
        <v>40</v>
      </c>
    </row>
    <row r="20" ht="15" spans="1:3">
      <c r="A20" s="1">
        <v>19</v>
      </c>
      <c r="B20" s="1">
        <v>90</v>
      </c>
      <c r="C20" s="1">
        <v>40</v>
      </c>
    </row>
    <row r="21" ht="15" spans="1:3">
      <c r="A21" s="1">
        <v>20</v>
      </c>
      <c r="B21" s="1">
        <v>90</v>
      </c>
      <c r="C21" s="1">
        <v>40</v>
      </c>
    </row>
    <row r="22" ht="15" spans="1:3">
      <c r="A22" s="1">
        <v>21</v>
      </c>
      <c r="B22" s="1">
        <v>90</v>
      </c>
      <c r="C22" s="1">
        <v>40</v>
      </c>
    </row>
    <row r="23" ht="15" spans="1:3">
      <c r="A23" s="1">
        <v>22</v>
      </c>
      <c r="B23" s="1">
        <v>90</v>
      </c>
      <c r="C23" s="1">
        <v>40</v>
      </c>
    </row>
    <row r="24" ht="15" spans="1:3">
      <c r="A24" s="1">
        <v>23</v>
      </c>
      <c r="B24" s="1">
        <v>90</v>
      </c>
      <c r="C24" s="1">
        <v>50</v>
      </c>
    </row>
    <row r="25" ht="15" spans="1:3">
      <c r="A25" s="1">
        <v>24</v>
      </c>
      <c r="B25" s="1">
        <v>420</v>
      </c>
      <c r="C25" s="1">
        <v>200</v>
      </c>
    </row>
    <row r="26" ht="15" spans="1:3">
      <c r="A26" s="1">
        <v>25</v>
      </c>
      <c r="B26" s="1">
        <v>420</v>
      </c>
      <c r="C26" s="1">
        <v>200</v>
      </c>
    </row>
    <row r="27" ht="15" spans="1:3">
      <c r="A27" s="1">
        <v>26</v>
      </c>
      <c r="B27" s="1">
        <v>60</v>
      </c>
      <c r="C27" s="1">
        <v>25</v>
      </c>
    </row>
    <row r="28" ht="15" spans="1:3">
      <c r="A28" s="1">
        <v>27</v>
      </c>
      <c r="B28" s="1">
        <v>60</v>
      </c>
      <c r="C28" s="1">
        <v>25</v>
      </c>
    </row>
    <row r="29" ht="15" spans="1:3">
      <c r="A29" s="1">
        <v>28</v>
      </c>
      <c r="B29" s="1">
        <v>60</v>
      </c>
      <c r="C29" s="1">
        <v>20</v>
      </c>
    </row>
    <row r="30" ht="15" spans="1:3">
      <c r="A30" s="1">
        <v>29</v>
      </c>
      <c r="B30" s="1">
        <v>120</v>
      </c>
      <c r="C30" s="1">
        <v>70</v>
      </c>
    </row>
    <row r="31" ht="15" spans="1:3">
      <c r="A31" s="1">
        <v>30</v>
      </c>
      <c r="B31" s="1">
        <v>200</v>
      </c>
      <c r="C31" s="1">
        <v>600</v>
      </c>
    </row>
    <row r="32" ht="15" spans="1:3">
      <c r="A32" s="1">
        <v>31</v>
      </c>
      <c r="B32" s="1">
        <v>150</v>
      </c>
      <c r="C32" s="1">
        <v>70</v>
      </c>
    </row>
    <row r="33" ht="15" spans="1:3">
      <c r="A33" s="1">
        <v>32</v>
      </c>
      <c r="B33" s="1">
        <v>210</v>
      </c>
      <c r="C33" s="1">
        <v>100</v>
      </c>
    </row>
    <row r="34" ht="15" spans="1:3">
      <c r="A34" s="1">
        <v>33</v>
      </c>
      <c r="B34" s="1">
        <v>60</v>
      </c>
      <c r="C34" s="1">
        <v>40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zoomScale="130" zoomScaleNormal="130" workbookViewId="0">
      <selection activeCell="E27" sqref="E27"/>
    </sheetView>
  </sheetViews>
  <sheetFormatPr defaultColWidth="9" defaultRowHeight="13.5" outlineLevelCol="2"/>
  <cols>
    <col min="2" max="2" width="11.125"/>
  </cols>
  <sheetData>
    <row r="1" ht="15" spans="1:3">
      <c r="A1" s="1" t="s">
        <v>20</v>
      </c>
      <c r="B1" s="1" t="s">
        <v>18</v>
      </c>
      <c r="C1" s="1" t="s">
        <v>19</v>
      </c>
    </row>
    <row r="2" ht="15" spans="1:3">
      <c r="A2" s="1">
        <v>1</v>
      </c>
      <c r="B2" s="1">
        <v>2105.54523922982</v>
      </c>
      <c r="C2" s="1">
        <v>1071.63</v>
      </c>
    </row>
    <row r="3" ht="15" spans="1:3">
      <c r="A3" s="1">
        <v>2</v>
      </c>
      <c r="B3" s="1">
        <v>1969.70361089242</v>
      </c>
      <c r="C3" s="1">
        <v>1148.175</v>
      </c>
    </row>
    <row r="4" ht="15" spans="1:3">
      <c r="A4" s="1">
        <v>3</v>
      </c>
      <c r="B4" s="1">
        <v>1901.78279672371</v>
      </c>
      <c r="C4" s="1">
        <v>1301.265</v>
      </c>
    </row>
    <row r="5" ht="15" spans="1:3">
      <c r="A5" s="1">
        <v>4</v>
      </c>
      <c r="B5" s="1">
        <v>1833.86198255501</v>
      </c>
      <c r="C5" s="1">
        <v>1454.355</v>
      </c>
    </row>
    <row r="6" ht="15" spans="1:3">
      <c r="A6" s="1">
        <v>5</v>
      </c>
      <c r="B6" s="1">
        <v>1867.82238963936</v>
      </c>
      <c r="C6" s="1">
        <v>1530.9</v>
      </c>
    </row>
    <row r="7" ht="15" spans="1:3">
      <c r="A7" s="1">
        <v>6</v>
      </c>
      <c r="B7" s="1">
        <v>1901.78279672371</v>
      </c>
      <c r="C7" s="1">
        <v>1683.99</v>
      </c>
    </row>
    <row r="8" ht="15" spans="1:3">
      <c r="A8" s="1">
        <v>7</v>
      </c>
      <c r="B8" s="1">
        <v>2139.50564631418</v>
      </c>
      <c r="C8" s="1">
        <v>1760.535</v>
      </c>
    </row>
    <row r="9" ht="15" spans="1:3">
      <c r="A9" s="1">
        <v>8</v>
      </c>
      <c r="B9" s="1">
        <v>2513.07012424205</v>
      </c>
      <c r="C9" s="1">
        <v>1837.08</v>
      </c>
    </row>
    <row r="10" ht="15" spans="1:3">
      <c r="A10" s="1">
        <v>9</v>
      </c>
      <c r="B10" s="1">
        <v>2886.63460216992</v>
      </c>
      <c r="C10" s="1">
        <v>1990.17</v>
      </c>
    </row>
    <row r="11" ht="15" spans="1:3">
      <c r="A11" s="1">
        <v>10</v>
      </c>
      <c r="B11" s="1">
        <v>3124.35745176038</v>
      </c>
      <c r="C11" s="1">
        <v>2143.26</v>
      </c>
    </row>
    <row r="12" ht="15" spans="1:3">
      <c r="A12" s="1">
        <v>11</v>
      </c>
      <c r="B12" s="1">
        <v>3260.19908009779</v>
      </c>
      <c r="C12" s="1">
        <v>2219.805</v>
      </c>
    </row>
    <row r="13" ht="15" spans="1:3">
      <c r="A13" s="1">
        <v>12</v>
      </c>
      <c r="B13" s="1">
        <v>3328.1198942665</v>
      </c>
      <c r="C13" s="1">
        <v>2296.35</v>
      </c>
    </row>
    <row r="14" ht="15" spans="1:3">
      <c r="A14" s="1">
        <v>13</v>
      </c>
      <c r="B14" s="1">
        <v>3260.19908009779</v>
      </c>
      <c r="C14" s="1">
        <v>2143.26</v>
      </c>
    </row>
    <row r="15" ht="15" spans="1:3">
      <c r="A15" s="1">
        <v>14</v>
      </c>
      <c r="B15" s="1">
        <v>3294.15948718214</v>
      </c>
      <c r="C15" s="1">
        <v>1990.17</v>
      </c>
    </row>
    <row r="16" ht="15" spans="1:3">
      <c r="A16" s="1">
        <v>15</v>
      </c>
      <c r="B16" s="1">
        <v>3294.15948718214</v>
      </c>
      <c r="C16" s="1">
        <v>1837.08</v>
      </c>
    </row>
    <row r="17" ht="15" spans="1:3">
      <c r="A17" s="1">
        <v>16</v>
      </c>
      <c r="B17" s="1">
        <v>3226.23867301344</v>
      </c>
      <c r="C17" s="1">
        <v>1607.445</v>
      </c>
    </row>
    <row r="18" ht="15" spans="1:3">
      <c r="A18" s="1">
        <v>17</v>
      </c>
      <c r="B18" s="1">
        <v>3158.31785884474</v>
      </c>
      <c r="C18" s="1">
        <v>1530.9</v>
      </c>
    </row>
    <row r="19" ht="15" spans="1:3">
      <c r="A19" s="1">
        <v>18</v>
      </c>
      <c r="B19" s="1">
        <v>3158.31785884474</v>
      </c>
      <c r="C19" s="1">
        <v>1683.99</v>
      </c>
    </row>
    <row r="20" ht="15" spans="1:3">
      <c r="A20" s="1">
        <v>19</v>
      </c>
      <c r="B20" s="1">
        <v>3090.39704467603</v>
      </c>
      <c r="C20" s="1">
        <v>1837.08</v>
      </c>
    </row>
    <row r="21" ht="15" spans="1:3">
      <c r="A21" s="1">
        <v>20</v>
      </c>
      <c r="B21" s="1">
        <v>3056.43663759168</v>
      </c>
      <c r="C21" s="1">
        <v>2143.26</v>
      </c>
    </row>
    <row r="22" ht="15" spans="1:3">
      <c r="A22" s="1">
        <v>21</v>
      </c>
      <c r="B22" s="1">
        <v>3039.4564340495</v>
      </c>
      <c r="C22" s="1">
        <v>1990.17</v>
      </c>
    </row>
    <row r="23" ht="15" spans="1:3">
      <c r="A23" s="1">
        <v>22</v>
      </c>
      <c r="B23" s="1">
        <v>3090.39704467603</v>
      </c>
      <c r="C23" s="1">
        <v>1683.99</v>
      </c>
    </row>
    <row r="24" ht="15" spans="1:3">
      <c r="A24" s="1">
        <v>23</v>
      </c>
      <c r="B24" s="1">
        <v>2886.63460216992</v>
      </c>
      <c r="C24" s="1">
        <v>1377.81</v>
      </c>
    </row>
    <row r="25" ht="15" spans="1:3">
      <c r="A25" s="1">
        <v>24</v>
      </c>
      <c r="B25" s="1">
        <v>2377.22849590464</v>
      </c>
      <c r="C25" s="1">
        <v>1224.72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zoomScale="130" zoomScaleNormal="130" workbookViewId="0">
      <selection activeCell="D24" sqref="D24"/>
    </sheetView>
  </sheetViews>
  <sheetFormatPr defaultColWidth="9" defaultRowHeight="13.5" outlineLevelCol="4"/>
  <cols>
    <col min="2" max="2" width="19.8" customWidth="1"/>
  </cols>
  <sheetData>
    <row r="1" ht="15.75" spans="1:5">
      <c r="A1" s="1" t="s">
        <v>20</v>
      </c>
      <c r="B1" s="2">
        <v>18</v>
      </c>
      <c r="C1" s="2">
        <v>22</v>
      </c>
      <c r="D1" s="2">
        <v>25</v>
      </c>
      <c r="E1" s="2">
        <v>33</v>
      </c>
    </row>
    <row r="2" ht="15" spans="1:5">
      <c r="A2" s="1" t="s">
        <v>21</v>
      </c>
      <c r="B2" s="1">
        <v>0</v>
      </c>
      <c r="C2" s="1">
        <v>0</v>
      </c>
      <c r="D2" s="1">
        <v>0</v>
      </c>
      <c r="E2" s="1">
        <v>0</v>
      </c>
    </row>
    <row r="3" ht="15" spans="1:5">
      <c r="A3" s="1" t="s">
        <v>22</v>
      </c>
      <c r="B3" s="1">
        <v>0</v>
      </c>
      <c r="C3" s="1">
        <v>0</v>
      </c>
      <c r="D3" s="1">
        <v>0</v>
      </c>
      <c r="E3" s="1">
        <v>0</v>
      </c>
    </row>
    <row r="4" ht="15" spans="1:5">
      <c r="A4" s="1" t="s">
        <v>23</v>
      </c>
      <c r="B4" s="1">
        <v>0</v>
      </c>
      <c r="C4" s="1">
        <v>0</v>
      </c>
      <c r="D4" s="1">
        <v>0</v>
      </c>
      <c r="E4" s="1">
        <v>0</v>
      </c>
    </row>
    <row r="5" ht="15" spans="1:5">
      <c r="A5" s="1" t="s">
        <v>24</v>
      </c>
      <c r="B5" s="1">
        <v>0</v>
      </c>
      <c r="C5" s="1">
        <v>0</v>
      </c>
      <c r="D5" s="1">
        <v>0</v>
      </c>
      <c r="E5" s="1">
        <v>0</v>
      </c>
    </row>
    <row r="6" ht="15" spans="1:5">
      <c r="A6" s="1" t="s">
        <v>25</v>
      </c>
      <c r="B6" s="1">
        <v>0</v>
      </c>
      <c r="C6" s="1">
        <v>0</v>
      </c>
      <c r="D6" s="1">
        <v>0</v>
      </c>
      <c r="E6" s="1">
        <v>0</v>
      </c>
    </row>
    <row r="7" ht="15" spans="1:5">
      <c r="A7" s="1" t="s">
        <v>26</v>
      </c>
      <c r="B7" s="1">
        <v>0</v>
      </c>
      <c r="C7" s="1">
        <v>0</v>
      </c>
      <c r="D7" s="1">
        <v>0</v>
      </c>
      <c r="E7" s="1">
        <v>0</v>
      </c>
    </row>
    <row r="8" ht="15" spans="1:5">
      <c r="A8" s="1" t="s">
        <v>27</v>
      </c>
      <c r="B8" s="1">
        <v>41.7777777777778</v>
      </c>
      <c r="C8" s="1">
        <v>47.857143</v>
      </c>
      <c r="D8" s="1">
        <v>41.9444443395832</v>
      </c>
      <c r="E8" s="1">
        <v>20.2380952380957</v>
      </c>
    </row>
    <row r="9" ht="15" spans="1:5">
      <c r="A9" s="1" t="s">
        <v>28</v>
      </c>
      <c r="B9" s="1">
        <v>183.555555555556</v>
      </c>
      <c r="C9" s="1">
        <v>216.428571</v>
      </c>
      <c r="D9" s="1">
        <v>171.388889009723</v>
      </c>
      <c r="E9" s="1">
        <v>143.452380952381</v>
      </c>
    </row>
    <row r="10" ht="15" spans="1:5">
      <c r="A10" s="1" t="s">
        <v>29</v>
      </c>
      <c r="B10" s="1">
        <v>366</v>
      </c>
      <c r="C10" s="1">
        <v>321.428571</v>
      </c>
      <c r="D10" s="1">
        <v>334.444444706945</v>
      </c>
      <c r="E10" s="1">
        <v>303.869047619047</v>
      </c>
    </row>
    <row r="11" ht="15" spans="1:5">
      <c r="A11" s="1" t="s">
        <v>30</v>
      </c>
      <c r="B11" s="1">
        <v>528.666666666665</v>
      </c>
      <c r="C11" s="1">
        <v>514.2857145</v>
      </c>
      <c r="D11" s="1">
        <v>481.944444338195</v>
      </c>
      <c r="E11" s="1">
        <v>434.22619047619</v>
      </c>
    </row>
    <row r="12" ht="15" spans="1:5">
      <c r="A12" s="1" t="s">
        <v>31</v>
      </c>
      <c r="B12" s="1">
        <v>646.666666666665</v>
      </c>
      <c r="C12" s="1">
        <v>908.9285715</v>
      </c>
      <c r="D12" s="1">
        <v>577.222222427085</v>
      </c>
      <c r="E12" s="1">
        <v>543.75</v>
      </c>
    </row>
    <row r="13" ht="15" spans="1:5">
      <c r="A13" s="1" t="s">
        <v>32</v>
      </c>
      <c r="B13" s="1">
        <v>684.444444444445</v>
      </c>
      <c r="C13" s="1">
        <v>1021.785714</v>
      </c>
      <c r="D13" s="1">
        <v>597.77777793125</v>
      </c>
      <c r="E13" s="1">
        <v>563.988095238095</v>
      </c>
    </row>
    <row r="14" ht="15" spans="1:5">
      <c r="A14" s="1" t="s">
        <v>33</v>
      </c>
      <c r="B14" s="1">
        <v>733.333333333335</v>
      </c>
      <c r="C14" s="1">
        <v>616.2499995</v>
      </c>
      <c r="D14" s="1">
        <v>553.333333597915</v>
      </c>
      <c r="E14" s="1">
        <v>468.75</v>
      </c>
    </row>
    <row r="15" ht="15" spans="1:5">
      <c r="A15" s="1" t="s">
        <v>34</v>
      </c>
      <c r="B15" s="1">
        <v>625.333333333335</v>
      </c>
      <c r="C15" s="1">
        <v>402.75</v>
      </c>
      <c r="D15" s="1">
        <v>467.499999929861</v>
      </c>
      <c r="E15" s="1">
        <v>440.178571428571</v>
      </c>
    </row>
    <row r="16" ht="15" spans="1:5">
      <c r="A16" s="1" t="s">
        <v>35</v>
      </c>
      <c r="B16" s="1">
        <v>412</v>
      </c>
      <c r="C16" s="1">
        <v>579.1071435</v>
      </c>
      <c r="D16" s="1">
        <v>364.166666854861</v>
      </c>
      <c r="E16" s="1">
        <v>367.857142857142</v>
      </c>
    </row>
    <row r="17" ht="15" spans="1:5">
      <c r="A17" s="1" t="s">
        <v>36</v>
      </c>
      <c r="B17" s="1">
        <v>239.111111111111</v>
      </c>
      <c r="C17" s="1">
        <v>289.642857</v>
      </c>
      <c r="D17" s="1">
        <v>267.777777657639</v>
      </c>
      <c r="E17" s="1">
        <v>247.619047619049</v>
      </c>
    </row>
    <row r="18" ht="15" spans="1:5">
      <c r="A18" s="1" t="s">
        <v>37</v>
      </c>
      <c r="B18" s="1">
        <v>112</v>
      </c>
      <c r="C18" s="1">
        <v>140.714286</v>
      </c>
      <c r="D18" s="1">
        <v>172.777777895139</v>
      </c>
      <c r="E18" s="1">
        <v>137.5</v>
      </c>
    </row>
    <row r="19" ht="15" spans="1:5">
      <c r="A19" s="1" t="s">
        <v>38</v>
      </c>
      <c r="B19" s="1">
        <v>31.7777777777778</v>
      </c>
      <c r="C19" s="1">
        <v>19.9999995</v>
      </c>
      <c r="D19" s="1">
        <v>83.8888886791665</v>
      </c>
      <c r="E19" s="1">
        <v>51.4880952380955</v>
      </c>
    </row>
    <row r="20" ht="15" spans="1:5">
      <c r="A20" s="1" t="s">
        <v>39</v>
      </c>
      <c r="B20" s="1">
        <v>4.66666666666676</v>
      </c>
      <c r="C20" s="1">
        <v>0.714285</v>
      </c>
      <c r="D20" s="1">
        <v>16.3888888479167</v>
      </c>
      <c r="E20" s="1">
        <v>5.35714285714285</v>
      </c>
    </row>
    <row r="21" ht="15" spans="1:5">
      <c r="A21" s="1" t="s">
        <v>40</v>
      </c>
      <c r="B21" s="1">
        <v>0</v>
      </c>
      <c r="C21" s="1">
        <v>0</v>
      </c>
      <c r="D21" s="1">
        <v>0</v>
      </c>
      <c r="E21" s="1">
        <v>0</v>
      </c>
    </row>
    <row r="22" ht="15" spans="1:5">
      <c r="A22" s="1" t="s">
        <v>41</v>
      </c>
      <c r="B22" s="1">
        <v>0</v>
      </c>
      <c r="C22" s="1">
        <v>0</v>
      </c>
      <c r="D22" s="1">
        <v>0</v>
      </c>
      <c r="E22" s="1">
        <v>0</v>
      </c>
    </row>
    <row r="23" ht="15" spans="1:5">
      <c r="A23" s="1" t="s">
        <v>42</v>
      </c>
      <c r="B23" s="1">
        <v>0</v>
      </c>
      <c r="C23" s="1">
        <v>0</v>
      </c>
      <c r="D23" s="1">
        <v>0</v>
      </c>
      <c r="E23" s="1">
        <v>0</v>
      </c>
    </row>
    <row r="24" ht="15" spans="1:5">
      <c r="A24" s="1" t="s">
        <v>43</v>
      </c>
      <c r="B24" s="1">
        <v>0</v>
      </c>
      <c r="C24" s="1">
        <v>0</v>
      </c>
      <c r="D24" s="1">
        <v>0</v>
      </c>
      <c r="E24" s="1">
        <v>0</v>
      </c>
    </row>
    <row r="25" ht="15" spans="1:5">
      <c r="A25" s="1" t="s">
        <v>44</v>
      </c>
      <c r="B25" s="1">
        <v>0</v>
      </c>
      <c r="C25" s="1">
        <v>0</v>
      </c>
      <c r="D25" s="1">
        <v>0</v>
      </c>
      <c r="E2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DG</vt:lpstr>
      <vt:lpstr>ES</vt:lpstr>
      <vt:lpstr>Branch</vt:lpstr>
      <vt:lpstr>Node</vt:lpstr>
      <vt:lpstr>Load</vt:lpstr>
      <vt:lpstr>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雷克波</dc:creator>
  <cp:lastModifiedBy>许丹阳</cp:lastModifiedBy>
  <dcterms:created xsi:type="dcterms:W3CDTF">2021-09-22T01:21:00Z</dcterms:created>
  <dcterms:modified xsi:type="dcterms:W3CDTF">2026-07-02T10:03:20Z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CBB3771C2E9B4BE2B0603A79D6E7EBE0_13</vt:lpwstr>
  </property>
  <property fmtid="{D5CDD505-2E9C-101B-9397-08002B2CF9AE}" pid="4" name="CalculationRule">
    <vt:i4>0</vt:i4>
  </property>
</Properties>
</file>